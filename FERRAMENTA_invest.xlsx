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odrigoArquivos2021\Cursos DIO -2026\Excell\Santander - Excel com Inteligência Artificial\Criando uma Ferramentacexcel\"/>
    </mc:Choice>
  </mc:AlternateContent>
  <xr:revisionPtr revIDLastSave="0" documentId="8_{1A36B187-3286-461E-A46E-6C68E5BCE133}" xr6:coauthVersionLast="47" xr6:coauthVersionMax="47" xr10:uidLastSave="{00000000-0000-0000-0000-000000000000}"/>
  <bookViews>
    <workbookView xWindow="2670" yWindow="660" windowWidth="23295" windowHeight="14805" xr2:uid="{9712C345-CF21-490E-8CF5-18BDAE9A758B}"/>
  </bookViews>
  <sheets>
    <sheet name="Proj-Investimento" sheetId="1" r:id="rId1"/>
    <sheet name="tab-auxiliar" sheetId="2" r:id="rId2"/>
  </sheets>
  <definedNames>
    <definedName name="aporte">'Proj-Investimento'!$D$17</definedName>
    <definedName name="patrimonio">'Proj-Investimento'!$D$20</definedName>
    <definedName name="qtd_anos">'Proj-Investimento'!$D$18</definedName>
    <definedName name="rendimento_carteira">'Proj-Investimento'!$D$13</definedName>
    <definedName name="sugestao_investimento">'Proj-Investimento'!$D$14</definedName>
    <definedName name="taxa_mensal">'Proj-Investimento'!$D$19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" l="1"/>
  <c r="C36" i="1"/>
  <c r="C37" i="1"/>
  <c r="C38" i="1"/>
  <c r="C39" i="1"/>
  <c r="C40" i="1"/>
  <c r="C35" i="1"/>
  <c r="I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4" i="1"/>
  <c r="D20" i="1"/>
  <c r="D21" i="1" s="1"/>
  <c r="C25" i="1"/>
  <c r="D25" i="1" s="1"/>
  <c r="C26" i="1"/>
  <c r="D26" i="1" s="1"/>
  <c r="C27" i="1"/>
  <c r="D27" i="1" s="1"/>
  <c r="C28" i="1"/>
  <c r="D28" i="1" s="1"/>
  <c r="C29" i="1"/>
  <c r="D29" i="1" s="1"/>
  <c r="C24" i="1"/>
  <c r="D24" i="1" s="1"/>
  <c r="D35" i="1" l="1"/>
  <c r="D40" i="1"/>
  <c r="D39" i="1"/>
  <c r="D38" i="1"/>
  <c r="D37" i="1"/>
  <c r="D36" i="1"/>
  <c r="D41" i="1" l="1"/>
</calcChain>
</file>

<file path=xl/sharedStrings.xml><?xml version="1.0" encoding="utf-8"?>
<sst xmlns="http://schemas.openxmlformats.org/spreadsheetml/2006/main" count="72" uniqueCount="35">
  <si>
    <t>Quanto de patrimônio acumulado?</t>
  </si>
  <si>
    <t>Dividendo mensais?</t>
  </si>
  <si>
    <t>INVESTIMENTO MENSAL</t>
  </si>
  <si>
    <t>Cenários</t>
  </si>
  <si>
    <t>Rendimento Carteira</t>
  </si>
  <si>
    <t>Salário</t>
  </si>
  <si>
    <t>CONFIGURAÇÕES</t>
  </si>
  <si>
    <t>Dividendo</t>
  </si>
  <si>
    <t>Sugestão de Investimento (20% do salário)</t>
  </si>
  <si>
    <t>Moderado</t>
  </si>
  <si>
    <t>Conservador</t>
  </si>
  <si>
    <t>Agressivo</t>
  </si>
  <si>
    <t>VALOR A SER INVESTIDO POR MÊS</t>
  </si>
  <si>
    <t>PERFIL</t>
  </si>
  <si>
    <t>TIPO DE FII</t>
  </si>
  <si>
    <t xml:space="preserve">Percentual Sugerido 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</si>
  <si>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</si>
  <si>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</si>
  <si>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</si>
  <si>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</si>
  <si>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</si>
  <si>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</si>
  <si>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</si>
  <si>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</si>
  <si>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</si>
  <si>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</si>
  <si>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r>
      <t xml:space="preserve">Taxa de </t>
    </r>
    <r>
      <rPr>
        <b/>
        <sz val="12"/>
        <color theme="9" tint="-0.499984740745262"/>
        <rFont val="Segoe UI"/>
        <family val="2"/>
      </rPr>
      <t>rendimento mensal</t>
    </r>
    <r>
      <rPr>
        <sz val="12"/>
        <color theme="1"/>
        <rFont val="Segoe UI"/>
        <family val="2"/>
      </rPr>
      <t>?</t>
    </r>
  </si>
  <si>
    <r>
      <t xml:space="preserve">Por quantos </t>
    </r>
    <r>
      <rPr>
        <b/>
        <i/>
        <sz val="12"/>
        <color theme="7" tint="-0.499984740745262"/>
        <rFont val="Segoe UI"/>
        <family val="2"/>
      </rPr>
      <t>anos</t>
    </r>
    <r>
      <rPr>
        <sz val="12"/>
        <color theme="1"/>
        <rFont val="Segoe UI"/>
        <family val="2"/>
      </rPr>
      <t>?</t>
    </r>
  </si>
  <si>
    <r>
      <t xml:space="preserve">Quanto investir </t>
    </r>
    <r>
      <rPr>
        <b/>
        <i/>
        <sz val="12"/>
        <color theme="7" tint="-0.249977111117893"/>
        <rFont val="Segoe UI"/>
        <family val="2"/>
      </rPr>
      <t>por mês</t>
    </r>
    <r>
      <rPr>
        <sz val="12"/>
        <color theme="1"/>
        <rFont val="Segoe UI"/>
        <family val="2"/>
      </rPr>
      <t xml:space="preserve"> ?</t>
    </r>
  </si>
  <si>
    <r>
      <t xml:space="preserve">Retorno do investimento em </t>
    </r>
    <r>
      <rPr>
        <i/>
        <sz val="12"/>
        <color theme="9" tint="-0.249977111117893"/>
        <rFont val="Segoe UI"/>
        <family val="2"/>
      </rPr>
      <t>5 Anos</t>
    </r>
    <r>
      <rPr>
        <sz val="12"/>
        <color theme="1"/>
        <rFont val="Segoe UI"/>
        <family val="2"/>
      </rPr>
      <t xml:space="preserve"> ?</t>
    </r>
  </si>
  <si>
    <r>
      <t xml:space="preserve">Retorno do investimento em </t>
    </r>
    <r>
      <rPr>
        <i/>
        <sz val="12"/>
        <color theme="9" tint="-0.249977111117893"/>
        <rFont val="Segoe UI"/>
        <family val="2"/>
      </rPr>
      <t>10 Anos</t>
    </r>
    <r>
      <rPr>
        <sz val="12"/>
        <color theme="1"/>
        <rFont val="Segoe UI"/>
        <family val="2"/>
      </rPr>
      <t xml:space="preserve"> ?</t>
    </r>
  </si>
  <si>
    <r>
      <t xml:space="preserve">Retorno do investimento em </t>
    </r>
    <r>
      <rPr>
        <i/>
        <sz val="12"/>
        <color theme="9" tint="-0.249977111117893"/>
        <rFont val="Segoe UI"/>
        <family val="2"/>
      </rPr>
      <t>20 Anos</t>
    </r>
    <r>
      <rPr>
        <sz val="12"/>
        <color theme="1"/>
        <rFont val="Segoe UI"/>
        <family val="2"/>
      </rPr>
      <t xml:space="preserve"> ?</t>
    </r>
  </si>
  <si>
    <r>
      <t xml:space="preserve">Retorno do investimento em </t>
    </r>
    <r>
      <rPr>
        <i/>
        <sz val="12"/>
        <color theme="9" tint="-0.499984740745262"/>
        <rFont val="Segoe UI"/>
        <family val="2"/>
      </rPr>
      <t>30 Anos</t>
    </r>
    <r>
      <rPr>
        <sz val="12"/>
        <color rgb="FFCC9900"/>
        <rFont val="Segoe UI"/>
        <family val="2"/>
      </rPr>
      <t xml:space="preserve"> </t>
    </r>
    <r>
      <rPr>
        <sz val="12"/>
        <color theme="1"/>
        <rFont val="Segoe UI"/>
        <family val="2"/>
      </rPr>
      <t>?</t>
    </r>
  </si>
  <si>
    <r>
      <t xml:space="preserve">Retorno do investimento em </t>
    </r>
    <r>
      <rPr>
        <i/>
        <sz val="12"/>
        <color theme="9" tint="-0.499984740745262"/>
        <rFont val="Segoe UI"/>
        <family val="2"/>
      </rPr>
      <t>40 Anos</t>
    </r>
    <r>
      <rPr>
        <sz val="12"/>
        <color theme="1"/>
        <rFont val="Segoe UI"/>
        <family val="2"/>
      </rPr>
      <t xml:space="preserve"> ?</t>
    </r>
  </si>
  <si>
    <r>
      <t xml:space="preserve">Retorno do investimento em </t>
    </r>
    <r>
      <rPr>
        <i/>
        <sz val="12"/>
        <color rgb="FF186623"/>
        <rFont val="Segoe UI"/>
        <family val="2"/>
      </rPr>
      <t>2 Anos</t>
    </r>
    <r>
      <rPr>
        <i/>
        <sz val="12"/>
        <color theme="1"/>
        <rFont val="Segoe UI"/>
        <family val="2"/>
      </rPr>
      <t xml:space="preserve"> </t>
    </r>
    <r>
      <rPr>
        <sz val="12"/>
        <color theme="1"/>
        <rFont val="Segoe UI"/>
        <family val="2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</si>
</sst>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4"/>
      <color theme="0"/>
      <name val="Segoe UI"/>
      <family val="2"/>
    </font>
    <font>
      <b/>
      <sz val="20"/>
      <color theme="0"/>
      <name val="Segoe UI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name val="Segoe UI"/>
      <family val="2"/>
    </font>
    <font>
      <b/>
      <sz val="12"/>
      <color theme="9" tint="-0.499984740745262"/>
      <name val="Segoe UI"/>
      <family val="2"/>
    </font>
    <font>
      <b/>
      <sz val="11"/>
      <color theme="7" tint="-0.499984740745262"/>
      <name val="Segoe UI"/>
      <family val="2"/>
    </font>
    <font>
      <b/>
      <i/>
      <sz val="12"/>
      <color theme="7" tint="-0.499984740745262"/>
      <name val="Segoe UI"/>
      <family val="2"/>
    </font>
    <font>
      <i/>
      <sz val="12"/>
      <color theme="1"/>
      <name val="Segoe UI"/>
      <family val="2"/>
    </font>
    <font>
      <b/>
      <i/>
      <sz val="12"/>
      <color theme="7" tint="-0.249977111117893"/>
      <name val="Segoe UI"/>
      <family val="2"/>
    </font>
    <font>
      <sz val="12"/>
      <color rgb="FFCC9900"/>
      <name val="Segoe UI"/>
      <family val="2"/>
    </font>
    <font>
      <i/>
      <sz val="12"/>
      <color theme="9" tint="-0.499984740745262"/>
      <name val="Segoe UI"/>
      <family val="2"/>
    </font>
    <font>
      <i/>
      <sz val="12"/>
      <color theme="9" tint="-0.249977111117893"/>
      <name val="Segoe UI"/>
      <family val="2"/>
    </font>
    <font>
      <i/>
      <sz val="12"/>
      <color rgb="FF186623"/>
      <name val="Segoe UI"/>
      <family val="2"/>
    </font>
    <font>
      <b/>
      <sz val="11"/>
      <color rgb="FF5E2B0C"/>
      <name val="Segoe UI"/>
      <family val="2"/>
    </font>
    <font>
      <sz val="11"/>
      <color rgb="FFCCBE0A"/>
      <name val="Aptos Narrow"/>
      <family val="2"/>
      <scheme val="minor"/>
    </font>
    <font>
      <b/>
      <sz val="14"/>
      <color rgb="FFFFFF8F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47798F"/>
        <bgColor indexed="64"/>
      </patternFill>
    </fill>
    <fill>
      <patternFill patternType="solid">
        <fgColor rgb="FF43738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/>
      <right/>
      <top style="medium">
        <color indexed="64"/>
      </top>
      <bottom/>
      <diagonal/>
    </border>
    <border>
      <left style="medium">
        <color theme="0" tint="-4.9989318521683403E-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theme="2" tint="-0.24994659260841701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5">
    <xf numFmtId="0" fontId="0" fillId="0" borderId="0" xfId="0"/>
    <xf numFmtId="0" fontId="4" fillId="0" borderId="0" xfId="0" applyFont="1"/>
    <xf numFmtId="0" fontId="5" fillId="6" borderId="0" xfId="0" applyFont="1" applyFill="1" applyAlignment="1">
      <alignment vertical="center"/>
    </xf>
    <xf numFmtId="165" fontId="0" fillId="0" borderId="0" xfId="0" applyNumberFormat="1"/>
    <xf numFmtId="9" fontId="0" fillId="0" borderId="0" xfId="0" applyNumberFormat="1" applyAlignment="1">
      <alignment horizontal="center"/>
    </xf>
    <xf numFmtId="8" fontId="10" fillId="4" borderId="4" xfId="0" applyNumberFormat="1" applyFont="1" applyFill="1" applyBorder="1" applyAlignment="1">
      <alignment horizontal="center" vertical="center"/>
    </xf>
    <xf numFmtId="8" fontId="10" fillId="4" borderId="10" xfId="0" applyNumberFormat="1" applyFont="1" applyFill="1" applyBorder="1" applyAlignment="1">
      <alignment horizontal="center" vertical="center"/>
    </xf>
    <xf numFmtId="8" fontId="10" fillId="4" borderId="5" xfId="0" applyNumberFormat="1" applyFont="1" applyFill="1" applyBorder="1" applyAlignment="1">
      <alignment horizontal="center" vertical="center"/>
    </xf>
    <xf numFmtId="8" fontId="10" fillId="4" borderId="8" xfId="0" applyNumberFormat="1" applyFont="1" applyFill="1" applyBorder="1" applyAlignment="1">
      <alignment horizontal="center" vertical="center"/>
    </xf>
    <xf numFmtId="8" fontId="10" fillId="4" borderId="12" xfId="0" applyNumberFormat="1" applyFont="1" applyFill="1" applyBorder="1" applyAlignment="1">
      <alignment horizontal="center" vertical="center"/>
    </xf>
    <xf numFmtId="165" fontId="11" fillId="0" borderId="15" xfId="1" applyNumberFormat="1" applyFont="1" applyBorder="1" applyAlignment="1">
      <alignment horizontal="center" vertical="center"/>
    </xf>
    <xf numFmtId="8" fontId="11" fillId="4" borderId="18" xfId="0" applyNumberFormat="1" applyFont="1" applyFill="1" applyBorder="1" applyAlignment="1">
      <alignment horizontal="center"/>
    </xf>
    <xf numFmtId="8" fontId="11" fillId="4" borderId="21" xfId="0" applyNumberFormat="1" applyFont="1" applyFill="1" applyBorder="1" applyAlignment="1">
      <alignment horizontal="center"/>
    </xf>
    <xf numFmtId="165" fontId="10" fillId="0" borderId="15" xfId="0" applyNumberFormat="1" applyFont="1" applyBorder="1" applyAlignment="1">
      <alignment horizontal="center"/>
    </xf>
    <xf numFmtId="10" fontId="10" fillId="0" borderId="18" xfId="0" applyNumberFormat="1" applyFont="1" applyBorder="1" applyAlignment="1">
      <alignment horizontal="center"/>
    </xf>
    <xf numFmtId="165" fontId="13" fillId="7" borderId="21" xfId="0" applyNumberFormat="1" applyFont="1" applyFill="1" applyBorder="1" applyAlignment="1">
      <alignment horizontal="center"/>
    </xf>
    <xf numFmtId="0" fontId="12" fillId="4" borderId="0" xfId="0" applyFont="1" applyFill="1" applyAlignment="1">
      <alignment horizontal="left" vertical="center" indent="3"/>
    </xf>
    <xf numFmtId="165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horizontal="center" vertical="center"/>
    </xf>
    <xf numFmtId="165" fontId="3" fillId="8" borderId="0" xfId="0" applyNumberFormat="1" applyFont="1" applyFill="1"/>
    <xf numFmtId="0" fontId="0" fillId="0" borderId="3" xfId="0" applyBorder="1"/>
    <xf numFmtId="0" fontId="0" fillId="0" borderId="3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9" fontId="0" fillId="0" borderId="11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2" fillId="2" borderId="0" xfId="3" applyBorder="1"/>
    <xf numFmtId="9" fontId="2" fillId="2" borderId="0" xfId="2" applyFont="1" applyFill="1"/>
    <xf numFmtId="0" fontId="9" fillId="4" borderId="9" xfId="0" applyFont="1" applyFill="1" applyBorder="1" applyAlignment="1">
      <alignment horizontal="left" vertical="center" indent="5"/>
    </xf>
    <xf numFmtId="0" fontId="9" fillId="4" borderId="6" xfId="0" applyFont="1" applyFill="1" applyBorder="1" applyAlignment="1">
      <alignment horizontal="left" vertical="center" indent="5"/>
    </xf>
    <xf numFmtId="0" fontId="9" fillId="4" borderId="7" xfId="0" applyFont="1" applyFill="1" applyBorder="1" applyAlignment="1">
      <alignment horizontal="left" vertical="center" indent="5"/>
    </xf>
    <xf numFmtId="0" fontId="8" fillId="3" borderId="22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/>
    </xf>
    <xf numFmtId="164" fontId="23" fillId="0" borderId="18" xfId="0" applyNumberFormat="1" applyFont="1" applyBorder="1" applyAlignment="1">
      <alignment horizontal="center" vertical="center"/>
    </xf>
    <xf numFmtId="0" fontId="24" fillId="9" borderId="0" xfId="3" applyFont="1" applyFill="1" applyAlignment="1">
      <alignment horizontal="center" vertical="center"/>
    </xf>
    <xf numFmtId="0" fontId="25" fillId="9" borderId="0" xfId="3" applyFont="1" applyFill="1" applyBorder="1" applyAlignment="1">
      <alignment horizontal="center" vertical="center"/>
    </xf>
    <xf numFmtId="0" fontId="25" fillId="10" borderId="0" xfId="3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indent="7"/>
    </xf>
    <xf numFmtId="0" fontId="7" fillId="3" borderId="11" xfId="0" applyFont="1" applyFill="1" applyBorder="1" applyAlignment="1">
      <alignment horizontal="left" vertical="center" indent="7"/>
    </xf>
    <xf numFmtId="0" fontId="9" fillId="0" borderId="16" xfId="0" applyFont="1" applyBorder="1" applyAlignment="1">
      <alignment horizontal="left" vertical="center" indent="3"/>
    </xf>
    <xf numFmtId="0" fontId="9" fillId="0" borderId="17" xfId="0" applyFont="1" applyBorder="1" applyAlignment="1">
      <alignment horizontal="left" vertical="center" indent="3"/>
    </xf>
    <xf numFmtId="0" fontId="12" fillId="4" borderId="16" xfId="0" applyFont="1" applyFill="1" applyBorder="1" applyAlignment="1">
      <alignment horizontal="left" vertical="center" indent="3"/>
    </xf>
    <xf numFmtId="0" fontId="12" fillId="4" borderId="17" xfId="0" applyFont="1" applyFill="1" applyBorder="1" applyAlignment="1">
      <alignment horizontal="left" vertical="center" indent="3"/>
    </xf>
    <xf numFmtId="0" fontId="12" fillId="4" borderId="19" xfId="0" applyFont="1" applyFill="1" applyBorder="1" applyAlignment="1">
      <alignment horizontal="left" vertical="center" indent="3"/>
    </xf>
    <xf numFmtId="0" fontId="12" fillId="4" borderId="20" xfId="0" applyFont="1" applyFill="1" applyBorder="1" applyAlignment="1">
      <alignment horizontal="left" vertical="center" indent="3"/>
    </xf>
    <xf numFmtId="0" fontId="9" fillId="7" borderId="13" xfId="0" applyFont="1" applyFill="1" applyBorder="1" applyAlignment="1">
      <alignment horizontal="left" vertical="center" indent="3"/>
    </xf>
    <xf numFmtId="0" fontId="9" fillId="7" borderId="14" xfId="0" applyFont="1" applyFill="1" applyBorder="1" applyAlignment="1">
      <alignment horizontal="left" vertical="center" indent="3"/>
    </xf>
    <xf numFmtId="0" fontId="9" fillId="7" borderId="16" xfId="0" applyFont="1" applyFill="1" applyBorder="1" applyAlignment="1">
      <alignment horizontal="left" vertical="center" indent="3"/>
    </xf>
    <xf numFmtId="0" fontId="9" fillId="7" borderId="17" xfId="0" applyFont="1" applyFill="1" applyBorder="1" applyAlignment="1">
      <alignment horizontal="left" vertical="center" indent="3"/>
    </xf>
    <xf numFmtId="0" fontId="9" fillId="7" borderId="19" xfId="0" applyFont="1" applyFill="1" applyBorder="1" applyAlignment="1">
      <alignment horizontal="left" vertical="center" indent="3"/>
    </xf>
    <xf numFmtId="0" fontId="9" fillId="7" borderId="20" xfId="0" applyFont="1" applyFill="1" applyBorder="1" applyAlignment="1">
      <alignment horizontal="left" vertical="center" indent="3"/>
    </xf>
    <xf numFmtId="0" fontId="7" fillId="3" borderId="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 vertical="center" indent="3"/>
    </xf>
    <xf numFmtId="0" fontId="9" fillId="0" borderId="14" xfId="0" applyFont="1" applyBorder="1" applyAlignment="1">
      <alignment horizontal="left" vertical="center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437389"/>
      <color rgb="FF3E6A7E"/>
      <color rgb="FFCC9900"/>
      <color rgb="FFCCBE0A"/>
      <color rgb="FF47798F"/>
      <color rgb="FF5E2B0C"/>
      <color rgb="FF186623"/>
      <color rgb="FF15571E"/>
      <color rgb="FF003E4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 de Investimento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5.3518344264186175E-2"/>
                  <c:y val="4.46570748561077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8621468617554295E-2"/>
                      <c:h val="6.04148101412918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CD7-410B-81B5-A35246AEF2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'Proj-Investimento'!$B$35:$B$40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'Proj-Investimento'!$C$35:$C$40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0.08</c:v>
                </c:pt>
                <c:pt idx="4">
                  <c:v>0.01</c:v>
                </c:pt>
                <c:pt idx="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E-4347-8244-C9A2B0DAFC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55310544"/>
        <c:axId val="455297104"/>
      </c:radarChart>
      <c:catAx>
        <c:axId val="455310544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5297104"/>
        <c:crosses val="autoZero"/>
        <c:auto val="0"/>
        <c:lblAlgn val="ctr"/>
        <c:lblOffset val="100"/>
        <c:noMultiLvlLbl val="0"/>
      </c:catAx>
      <c:valAx>
        <c:axId val="45529710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531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03928488880773"/>
          <c:y val="0.82343392979914531"/>
          <c:w val="9.5786317420643696E-2"/>
          <c:h val="7.1770801205188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76199</xdr:rowOff>
    </xdr:from>
    <xdr:to>
      <xdr:col>4</xdr:col>
      <xdr:colOff>280988</xdr:colOff>
      <xdr:row>8</xdr:row>
      <xdr:rowOff>66674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7A1FA7F-4054-4F57-1695-71F2C2FDA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76199"/>
          <a:ext cx="7615238" cy="1514475"/>
        </a:xfrm>
        <a:prstGeom prst="rect">
          <a:avLst/>
        </a:prstGeom>
      </xdr:spPr>
    </xdr:pic>
    <xdr:clientData/>
  </xdr:twoCellAnchor>
  <xdr:twoCellAnchor>
    <xdr:from>
      <xdr:col>1</xdr:col>
      <xdr:colOff>32845</xdr:colOff>
      <xdr:row>41</xdr:row>
      <xdr:rowOff>71435</xdr:rowOff>
    </xdr:from>
    <xdr:to>
      <xdr:col>3</xdr:col>
      <xdr:colOff>1097016</xdr:colOff>
      <xdr:row>57</xdr:row>
      <xdr:rowOff>9524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676D23-0C03-86AC-5049-1154D1C92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2076451</xdr:colOff>
      <xdr:row>7</xdr:row>
      <xdr:rowOff>142875</xdr:rowOff>
    </xdr:from>
    <xdr:ext cx="3047999" cy="239436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90D25744-3A30-8460-6897-0B74AD40F4B5}"/>
            </a:ext>
          </a:extLst>
        </xdr:cNvPr>
        <xdr:cNvSpPr txBox="1"/>
      </xdr:nvSpPr>
      <xdr:spPr>
        <a:xfrm>
          <a:off x="2419351" y="1476375"/>
          <a:ext cx="3047999" cy="239436"/>
        </a:xfrm>
        <a:prstGeom prst="rect">
          <a:avLst/>
        </a:prstGeom>
        <a:gradFill>
          <a:gsLst>
            <a:gs pos="0">
              <a:srgbClr val="003E43"/>
            </a:gs>
            <a:gs pos="96000">
              <a:schemeClr val="accent1">
                <a:satMod val="110000"/>
                <a:lumMod val="100000"/>
                <a:shade val="100000"/>
              </a:schemeClr>
            </a:gs>
            <a:gs pos="99000">
              <a:srgbClr val="15571E"/>
            </a:gs>
          </a:gsLst>
        </a:gra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/>
            <a:t>C</a:t>
          </a:r>
          <a:r>
            <a:rPr lang="pt-BR" sz="1400"/>
            <a:t>ontrole  </a:t>
          </a:r>
          <a:r>
            <a:rPr lang="pt-BR" sz="1400" b="1"/>
            <a:t>F</a:t>
          </a:r>
          <a:r>
            <a:rPr lang="pt-BR" sz="1400"/>
            <a:t>inanceiro</a:t>
          </a:r>
          <a:r>
            <a:rPr lang="pt-BR" sz="1400" baseline="0"/>
            <a:t>  de  </a:t>
          </a:r>
          <a:r>
            <a:rPr lang="pt-BR" sz="1400" b="1" baseline="0"/>
            <a:t>I</a:t>
          </a:r>
          <a:r>
            <a:rPr lang="pt-BR" sz="1400" baseline="0"/>
            <a:t>nvestimentos.</a:t>
          </a:r>
          <a:endParaRPr lang="pt-BR" sz="14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B0A6-E249-424B-B06A-7F3B714B51F9}">
  <dimension ref="A10:I74"/>
  <sheetViews>
    <sheetView showGridLines="0" tabSelected="1" topLeftCell="A10" zoomScale="145" zoomScaleNormal="145" zoomScaleSheetLayoutView="130" workbookViewId="0">
      <selection activeCell="D14" sqref="D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5.140625" customWidth="1"/>
    <col min="2" max="2" width="58.7109375" customWidth="1"/>
    <col min="3" max="3" width="30.28515625" customWidth="1"/>
    <col min="4" max="4" width="16.85546875" customWidth="1"/>
    <col min="5" max="5" width="5.28515625" customWidth="1"/>
    <col min="6" max="7" width="4.28515625" hidden="1" customWidth="1"/>
    <col min="8" max="8" width="3.5703125" hidden="1" customWidth="1"/>
    <col min="9" max="9" width="5.42578125" hidden="1" customWidth="1"/>
    <col min="10" max="11" width="9.140625" hidden="1" customWidth="1"/>
    <col min="12" max="16384" width="9.140625" hidden="1"/>
  </cols>
  <sheetData>
    <row r="10" spans="2:7" ht="16.5" customHeight="1" thickBot="1" x14ac:dyDescent="0.3"/>
    <row r="11" spans="2:7" ht="37.5" x14ac:dyDescent="0.25">
      <c r="B11" s="43" t="s">
        <v>6</v>
      </c>
      <c r="C11" s="44"/>
      <c r="D11" s="45"/>
    </row>
    <row r="12" spans="2:7" ht="18" customHeight="1" x14ac:dyDescent="0.3">
      <c r="B12" s="54" t="s">
        <v>5</v>
      </c>
      <c r="C12" s="55"/>
      <c r="D12" s="13">
        <v>1850</v>
      </c>
    </row>
    <row r="13" spans="2:7" ht="18" customHeight="1" x14ac:dyDescent="0.3">
      <c r="B13" s="56" t="s">
        <v>4</v>
      </c>
      <c r="C13" s="57"/>
      <c r="D13" s="14">
        <v>6.0000000000000001E-3</v>
      </c>
    </row>
    <row r="14" spans="2:7" ht="18" customHeight="1" thickBot="1" x14ac:dyDescent="0.35">
      <c r="B14" s="58" t="s">
        <v>8</v>
      </c>
      <c r="C14" s="59"/>
      <c r="D14" s="15">
        <f>D12*20%</f>
        <v>370</v>
      </c>
    </row>
    <row r="15" spans="2:7" ht="15.75" thickBot="1" x14ac:dyDescent="0.3"/>
    <row r="16" spans="2:7" ht="30.75" x14ac:dyDescent="0.25">
      <c r="B16" s="60" t="s">
        <v>2</v>
      </c>
      <c r="C16" s="61"/>
      <c r="D16" s="62"/>
      <c r="G16" s="2"/>
    </row>
    <row r="17" spans="1:4" ht="18.75" customHeight="1" x14ac:dyDescent="0.25">
      <c r="B17" s="63" t="s">
        <v>28</v>
      </c>
      <c r="C17" s="64"/>
      <c r="D17" s="10">
        <v>400</v>
      </c>
    </row>
    <row r="18" spans="1:4" ht="18.75" customHeight="1" x14ac:dyDescent="0.3">
      <c r="B18" s="48" t="s">
        <v>27</v>
      </c>
      <c r="C18" s="49"/>
      <c r="D18" s="38">
        <v>10</v>
      </c>
    </row>
    <row r="19" spans="1:4" ht="18.75" customHeight="1" x14ac:dyDescent="0.25">
      <c r="B19" s="48" t="s">
        <v>26</v>
      </c>
      <c r="C19" s="49"/>
      <c r="D19" s="39">
        <v>1.0749999999999999E-2</v>
      </c>
    </row>
    <row r="20" spans="1:4" ht="18.75" customHeight="1" x14ac:dyDescent="0.3">
      <c r="B20" s="50" t="s">
        <v>0</v>
      </c>
      <c r="C20" s="51"/>
      <c r="D20" s="11">
        <f>FV(taxa_mensal, qtd_anos*12, aporte*-1)</f>
        <v>97036.751291838431</v>
      </c>
    </row>
    <row r="21" spans="1:4" ht="18.75" customHeight="1" thickBot="1" x14ac:dyDescent="0.35">
      <c r="B21" s="52" t="s">
        <v>1</v>
      </c>
      <c r="C21" s="53"/>
      <c r="D21" s="12">
        <f>patrimonio*rendimento_carteira</f>
        <v>582.2205077510306</v>
      </c>
    </row>
    <row r="22" spans="1:4" ht="15.75" thickBot="1" x14ac:dyDescent="0.3"/>
    <row r="23" spans="1:4" ht="30.75" x14ac:dyDescent="0.25">
      <c r="B23" s="46" t="s">
        <v>3</v>
      </c>
      <c r="C23" s="47"/>
      <c r="D23" s="37" t="s">
        <v>7</v>
      </c>
    </row>
    <row r="24" spans="1:4" ht="19.5" customHeight="1" thickBot="1" x14ac:dyDescent="0.3">
      <c r="A24" s="1">
        <v>2</v>
      </c>
      <c r="B24" s="34" t="s">
        <v>34</v>
      </c>
      <c r="C24" s="5">
        <f t="shared" ref="C24:C29" si="0">FV($D$19,$A24*12,$D$17*-1)</f>
        <v>10885.87465759023</v>
      </c>
      <c r="D24" s="6">
        <f t="shared" ref="D24:D29" si="1">C24*rendimento_carteira</f>
        <v>65.315247945541373</v>
      </c>
    </row>
    <row r="25" spans="1:4" ht="19.5" customHeight="1" thickBot="1" x14ac:dyDescent="0.3">
      <c r="A25" s="1">
        <v>5</v>
      </c>
      <c r="B25" s="35" t="s">
        <v>29</v>
      </c>
      <c r="C25" s="7">
        <f t="shared" si="0"/>
        <v>33467.440631821402</v>
      </c>
      <c r="D25" s="6">
        <f t="shared" si="1"/>
        <v>200.80464379092842</v>
      </c>
    </row>
    <row r="26" spans="1:4" ht="19.5" customHeight="1" thickBot="1" x14ac:dyDescent="0.3">
      <c r="A26" s="1">
        <v>10</v>
      </c>
      <c r="B26" s="35" t="s">
        <v>30</v>
      </c>
      <c r="C26" s="7">
        <f t="shared" si="0"/>
        <v>97036.751291838431</v>
      </c>
      <c r="D26" s="6">
        <f t="shared" si="1"/>
        <v>582.2205077510306</v>
      </c>
    </row>
    <row r="27" spans="1:4" ht="19.5" customHeight="1" thickBot="1" x14ac:dyDescent="0.3">
      <c r="A27" s="1">
        <v>20</v>
      </c>
      <c r="B27" s="35" t="s">
        <v>31</v>
      </c>
      <c r="C27" s="7">
        <f t="shared" si="0"/>
        <v>447132.02593041852</v>
      </c>
      <c r="D27" s="6">
        <f t="shared" si="1"/>
        <v>2682.792155582511</v>
      </c>
    </row>
    <row r="28" spans="1:4" ht="19.5" customHeight="1" thickBot="1" x14ac:dyDescent="0.3">
      <c r="A28" s="1">
        <v>30</v>
      </c>
      <c r="B28" s="35" t="s">
        <v>32</v>
      </c>
      <c r="C28" s="7">
        <f t="shared" si="0"/>
        <v>1710227.7055832022</v>
      </c>
      <c r="D28" s="6">
        <f t="shared" si="1"/>
        <v>10261.366233499213</v>
      </c>
    </row>
    <row r="29" spans="1:4" ht="19.5" customHeight="1" thickBot="1" x14ac:dyDescent="0.3">
      <c r="A29" s="1">
        <v>40</v>
      </c>
      <c r="B29" s="36" t="s">
        <v>33</v>
      </c>
      <c r="C29" s="8">
        <f t="shared" si="0"/>
        <v>6267303.4833255475</v>
      </c>
      <c r="D29" s="9">
        <f t="shared" si="1"/>
        <v>37603.820899953287</v>
      </c>
    </row>
    <row r="31" spans="1:4" ht="21.75" customHeight="1" x14ac:dyDescent="0.25">
      <c r="B31" s="41" t="s">
        <v>13</v>
      </c>
      <c r="C31" s="42" t="s">
        <v>10</v>
      </c>
      <c r="D31" s="40"/>
    </row>
    <row r="32" spans="1:4" ht="17.25" x14ac:dyDescent="0.25">
      <c r="B32" s="16" t="s">
        <v>12</v>
      </c>
      <c r="C32" s="17">
        <f>aporte</f>
        <v>400</v>
      </c>
      <c r="D32" s="18"/>
    </row>
    <row r="34" spans="2:4" x14ac:dyDescent="0.25">
      <c r="B34" s="23" t="s">
        <v>14</v>
      </c>
      <c r="C34" s="23" t="s">
        <v>15</v>
      </c>
      <c r="D34" s="23" t="s">
        <v>16</v>
      </c>
    </row>
    <row r="35" spans="2:4" x14ac:dyDescent="0.25">
      <c r="B35" s="20" t="s">
        <v>17</v>
      </c>
      <c r="C35" s="21">
        <f>VLOOKUP($C$31&amp;"-"&amp;B35,'tab-auxiliar'!$A:$D,4,FALSE)</f>
        <v>0.3</v>
      </c>
      <c r="D35" s="3">
        <f>C35*$C$32</f>
        <v>120</v>
      </c>
    </row>
    <row r="36" spans="2:4" x14ac:dyDescent="0.25">
      <c r="B36" s="20" t="s">
        <v>18</v>
      </c>
      <c r="C36" s="21">
        <f>VLOOKUP($C$31&amp;"-"&amp;B36,'tab-auxiliar'!$A:$D,4,FALSE)</f>
        <v>0.5</v>
      </c>
      <c r="D36" s="3">
        <f t="shared" ref="D36:D40" si="2">C36*$C$32</f>
        <v>200</v>
      </c>
    </row>
    <row r="37" spans="2:4" x14ac:dyDescent="0.25">
      <c r="B37" s="20" t="s">
        <v>19</v>
      </c>
      <c r="C37" s="21">
        <f>VLOOKUP($C$31&amp;"-"&amp;B37,'tab-auxiliar'!$A:$D,4,FALSE)</f>
        <v>0.1</v>
      </c>
      <c r="D37" s="3">
        <f t="shared" si="2"/>
        <v>40</v>
      </c>
    </row>
    <row r="38" spans="2:4" x14ac:dyDescent="0.25">
      <c r="B38" s="20" t="s">
        <v>20</v>
      </c>
      <c r="C38" s="21">
        <f>VLOOKUP($C$31&amp;"-"&amp;B38,'tab-auxiliar'!$A:$D,4,FALSE)</f>
        <v>0.08</v>
      </c>
      <c r="D38" s="3">
        <f t="shared" si="2"/>
        <v>32</v>
      </c>
    </row>
    <row r="39" spans="2:4" x14ac:dyDescent="0.25">
      <c r="B39" s="20" t="s">
        <v>21</v>
      </c>
      <c r="C39" s="21">
        <f>VLOOKUP($C$31&amp;"-"&amp;B39,'tab-auxiliar'!$A:$D,4,FALSE)</f>
        <v>0.01</v>
      </c>
      <c r="D39" s="3">
        <f t="shared" si="2"/>
        <v>4</v>
      </c>
    </row>
    <row r="40" spans="2:4" x14ac:dyDescent="0.25">
      <c r="B40" s="20" t="s">
        <v>22</v>
      </c>
      <c r="C40" s="21">
        <f>VLOOKUP($C$31&amp;"-"&amp;B40,'tab-auxiliar'!$A:$D,4,FALSE)</f>
        <v>0.01</v>
      </c>
      <c r="D40" s="3">
        <f t="shared" si="2"/>
        <v>4</v>
      </c>
    </row>
    <row r="41" spans="2:4" x14ac:dyDescent="0.25">
      <c r="B41" s="22"/>
      <c r="C41" s="22"/>
      <c r="D41" s="24">
        <f>SUM(D35:D40)</f>
        <v>400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</sheetData>
  <mergeCells count="11">
    <mergeCell ref="B11:D11"/>
    <mergeCell ref="B23:C23"/>
    <mergeCell ref="B19:C19"/>
    <mergeCell ref="B20:C20"/>
    <mergeCell ref="B21:C21"/>
    <mergeCell ref="B12:C12"/>
    <mergeCell ref="B13:C13"/>
    <mergeCell ref="B14:C14"/>
    <mergeCell ref="B16:D16"/>
    <mergeCell ref="B17:C17"/>
    <mergeCell ref="B18:C18"/>
  </mergeCells>
  <dataValidations count="1">
    <dataValidation type="list" allowBlank="1" showInputMessage="1" showErrorMessage="1" sqref="C31" xr:uid="{73E4807C-E256-47AE-AB82-BB5280E8920E}">
      <formula1>"Conservador,Moderado,Agressivo"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1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696F-E64B-4AD9-8F99-2E0C74CFB70F}">
  <dimension ref="A2:I20"/>
  <sheetViews>
    <sheetView workbookViewId="0">
      <selection activeCell="C32" sqref="C32"/>
    </sheetView>
  </sheetViews>
  <sheetFormatPr defaultRowHeight="15" x14ac:dyDescent="0.25"/>
  <cols>
    <col min="1" max="1" width="31.7109375" customWidth="1"/>
    <col min="2" max="2" width="19.5703125" customWidth="1"/>
    <col min="3" max="3" width="21" customWidth="1"/>
    <col min="4" max="4" width="9.7109375" style="19" customWidth="1"/>
    <col min="8" max="8" width="19.28515625" customWidth="1"/>
  </cols>
  <sheetData>
    <row r="2" spans="1:9" x14ac:dyDescent="0.25">
      <c r="A2" t="s">
        <v>24</v>
      </c>
      <c r="B2" s="20" t="s">
        <v>13</v>
      </c>
      <c r="C2" s="20" t="s">
        <v>14</v>
      </c>
      <c r="D2" s="20" t="s">
        <v>23</v>
      </c>
    </row>
    <row r="3" spans="1:9" x14ac:dyDescent="0.25">
      <c r="A3" t="str">
        <f>B3&amp;"-"&amp;C3</f>
        <v>Conservador-PAPEL</v>
      </c>
      <c r="B3" s="20" t="s">
        <v>10</v>
      </c>
      <c r="C3" s="20" t="s">
        <v>17</v>
      </c>
      <c r="D3" s="21">
        <v>0.3</v>
      </c>
      <c r="I3" t="s">
        <v>23</v>
      </c>
    </row>
    <row r="4" spans="1:9" x14ac:dyDescent="0.25">
      <c r="A4" t="str">
        <f t="shared" ref="A4:A20" si="0">B4&amp;"-"&amp;C4</f>
        <v>Conservador-TIJOLO</v>
      </c>
      <c r="B4" s="20" t="s">
        <v>10</v>
      </c>
      <c r="C4" s="20" t="s">
        <v>18</v>
      </c>
      <c r="D4" s="21">
        <v>0.5</v>
      </c>
      <c r="H4" s="32" t="s">
        <v>25</v>
      </c>
      <c r="I4" s="33">
        <f>VLOOKUP(H4,$A:$D,4,FALSE)</f>
        <v>0.35</v>
      </c>
    </row>
    <row r="5" spans="1:9" x14ac:dyDescent="0.25">
      <c r="A5" t="str">
        <f t="shared" si="0"/>
        <v>Conservador-HÍBRIDOS</v>
      </c>
      <c r="B5" s="20" t="s">
        <v>10</v>
      </c>
      <c r="C5" s="20" t="s">
        <v>19</v>
      </c>
      <c r="D5" s="21">
        <v>0.1</v>
      </c>
    </row>
    <row r="6" spans="1:9" x14ac:dyDescent="0.25">
      <c r="A6" t="str">
        <f t="shared" si="0"/>
        <v>Conservador-FOFs</v>
      </c>
      <c r="B6" s="20" t="s">
        <v>10</v>
      </c>
      <c r="C6" s="20" t="s">
        <v>20</v>
      </c>
      <c r="D6" s="21">
        <v>0.08</v>
      </c>
    </row>
    <row r="7" spans="1:9" x14ac:dyDescent="0.25">
      <c r="A7" t="str">
        <f t="shared" si="0"/>
        <v>Conservador-DESENVOLVIMENTO</v>
      </c>
      <c r="B7" s="20" t="s">
        <v>10</v>
      </c>
      <c r="C7" s="20" t="s">
        <v>21</v>
      </c>
      <c r="D7" s="21">
        <v>0.01</v>
      </c>
    </row>
    <row r="8" spans="1:9" ht="15.75" thickBot="1" x14ac:dyDescent="0.3">
      <c r="A8" s="25" t="str">
        <f t="shared" si="0"/>
        <v>Conservador-HOTELARIAS</v>
      </c>
      <c r="B8" s="26" t="s">
        <v>10</v>
      </c>
      <c r="C8" s="26" t="s">
        <v>22</v>
      </c>
      <c r="D8" s="27">
        <v>0.01</v>
      </c>
    </row>
    <row r="9" spans="1:9" x14ac:dyDescent="0.25">
      <c r="A9" s="28" t="str">
        <f t="shared" si="0"/>
        <v>Moderado-PAPEL</v>
      </c>
      <c r="B9" s="29" t="s">
        <v>9</v>
      </c>
      <c r="C9" s="29" t="s">
        <v>17</v>
      </c>
      <c r="D9" s="30">
        <v>0.32</v>
      </c>
    </row>
    <row r="10" spans="1:9" x14ac:dyDescent="0.25">
      <c r="A10" t="str">
        <f t="shared" si="0"/>
        <v>Moderado-TIJOLO</v>
      </c>
      <c r="B10" s="20" t="s">
        <v>9</v>
      </c>
      <c r="C10" s="20" t="s">
        <v>18</v>
      </c>
      <c r="D10" s="4">
        <v>0.35</v>
      </c>
    </row>
    <row r="11" spans="1:9" x14ac:dyDescent="0.25">
      <c r="A11" t="str">
        <f t="shared" si="0"/>
        <v>Moderado-HÍBRIDOS</v>
      </c>
      <c r="B11" s="20" t="s">
        <v>9</v>
      </c>
      <c r="C11" s="20" t="s">
        <v>19</v>
      </c>
      <c r="D11" s="4">
        <v>0.08</v>
      </c>
    </row>
    <row r="12" spans="1:9" x14ac:dyDescent="0.25">
      <c r="A12" t="str">
        <f t="shared" si="0"/>
        <v>Moderado-FOFs</v>
      </c>
      <c r="B12" s="20" t="s">
        <v>9</v>
      </c>
      <c r="C12" s="20" t="s">
        <v>20</v>
      </c>
      <c r="D12" s="4">
        <v>0.05</v>
      </c>
    </row>
    <row r="13" spans="1:9" x14ac:dyDescent="0.25">
      <c r="A13" t="str">
        <f t="shared" si="0"/>
        <v>Moderado-DESENVOLVIMENTO</v>
      </c>
      <c r="B13" s="20" t="s">
        <v>9</v>
      </c>
      <c r="C13" s="20" t="s">
        <v>21</v>
      </c>
      <c r="D13" s="4">
        <v>0.1</v>
      </c>
    </row>
    <row r="14" spans="1:9" ht="15.75" thickBot="1" x14ac:dyDescent="0.3">
      <c r="A14" s="25" t="str">
        <f t="shared" si="0"/>
        <v>Moderado-HOTELARIAS</v>
      </c>
      <c r="B14" s="26" t="s">
        <v>9</v>
      </c>
      <c r="C14" s="26" t="s">
        <v>22</v>
      </c>
      <c r="D14" s="31">
        <v>0.1</v>
      </c>
    </row>
    <row r="15" spans="1:9" x14ac:dyDescent="0.25">
      <c r="A15" t="str">
        <f t="shared" si="0"/>
        <v>Agressivo-PAPEL</v>
      </c>
      <c r="B15" s="20" t="s">
        <v>11</v>
      </c>
      <c r="C15" s="20" t="s">
        <v>17</v>
      </c>
      <c r="D15" s="4">
        <v>0.5</v>
      </c>
    </row>
    <row r="16" spans="1:9" x14ac:dyDescent="0.25">
      <c r="A16" t="str">
        <f t="shared" si="0"/>
        <v>Agressivo-TIJOLO</v>
      </c>
      <c r="B16" s="20" t="s">
        <v>11</v>
      </c>
      <c r="C16" s="20" t="s">
        <v>18</v>
      </c>
      <c r="D16" s="4">
        <v>0.1</v>
      </c>
    </row>
    <row r="17" spans="1:4" x14ac:dyDescent="0.25">
      <c r="A17" t="str">
        <f t="shared" si="0"/>
        <v>Agressivo-HÍBRIDOS</v>
      </c>
      <c r="B17" s="20" t="s">
        <v>11</v>
      </c>
      <c r="C17" s="20" t="s">
        <v>19</v>
      </c>
      <c r="D17" s="4">
        <v>0.05</v>
      </c>
    </row>
    <row r="18" spans="1:4" x14ac:dyDescent="0.25">
      <c r="A18" t="str">
        <f t="shared" si="0"/>
        <v>Agressivo-FOFs</v>
      </c>
      <c r="B18" s="20" t="s">
        <v>11</v>
      </c>
      <c r="C18" s="20" t="s">
        <v>20</v>
      </c>
      <c r="D18" s="4">
        <v>0.05</v>
      </c>
    </row>
    <row r="19" spans="1:4" x14ac:dyDescent="0.25">
      <c r="A19" t="str">
        <f t="shared" si="0"/>
        <v>Agressivo-DESENVOLVIMENTO</v>
      </c>
      <c r="B19" s="20" t="s">
        <v>11</v>
      </c>
      <c r="C19" s="20" t="s">
        <v>21</v>
      </c>
      <c r="D19" s="4">
        <v>0.2</v>
      </c>
    </row>
    <row r="20" spans="1:4" x14ac:dyDescent="0.25">
      <c r="A20" t="str">
        <f t="shared" si="0"/>
        <v>Agressivo-HOTELARIAS</v>
      </c>
      <c r="B20" s="20" t="s">
        <v>11</v>
      </c>
      <c r="C20" s="20" t="s">
        <v>22</v>
      </c>
      <c r="D20" s="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Proj-Investimento</vt:lpstr>
      <vt:lpstr>tab-auxiliar</vt:lpstr>
      <vt:lpstr>aporte</vt:lpstr>
      <vt:lpstr>patrimonio</vt:lpstr>
      <vt:lpstr>qtd_anos</vt:lpstr>
      <vt:lpstr>rendimento_carteira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Camacho Feijó</dc:creator>
  <cp:lastModifiedBy>rodrigo Camacho Feijó</cp:lastModifiedBy>
  <cp:lastPrinted>2026-06-09T01:03:59Z</cp:lastPrinted>
  <dcterms:created xsi:type="dcterms:W3CDTF">2026-06-08T13:20:40Z</dcterms:created>
  <dcterms:modified xsi:type="dcterms:W3CDTF">2026-06-09T19:52:35Z</dcterms:modified>
</cp:coreProperties>
</file>